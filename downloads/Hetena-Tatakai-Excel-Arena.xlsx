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8a533504e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" sheetId="1" r:id="Rccc2c7d21fa14a44"/>
    <x:sheet xmlns:r="http://schemas.openxmlformats.org/officeDocument/2006/relationships" name="FIGHTERS" sheetId="2" r:id="R22ae646a575b44bc"/>
    <x:sheet xmlns:r="http://schemas.openxmlformats.org/officeDocument/2006/relationships" name="RULES" sheetId="3" r:id="Rc7f8a7e001c146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sz val="10"/>
      <x:color rgb="FF35435C"/>
      <x:name val="Aptos"/>
    </x:font>
    <x:font>
      <x:sz val="11"/>
      <x:name val="Aptos"/>
    </x:font>
    <x:font>
      <x:b/>
      <x:sz val="12"/>
      <x:color rgb="FFFFFFFF"/>
      <x:name val="Aptos"/>
    </x:font>
    <x:font>
      <x:b/>
      <x:sz val="16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233D"/>
      </x:patternFill>
    </x:fill>
    <x:fill>
      <x:patternFill patternType="solid">
        <x:fgColor rgb="FF2B456D"/>
      </x:patternFill>
    </x:fill>
    <x:fill>
      <x:patternFill patternType="solid">
        <x:fgColor rgb="FFFFF1B8"/>
      </x:patternFill>
    </x:fill>
    <x:fill>
      <x:patternFill patternType="solid">
        <x:fgColor rgb="FFCC3244"/>
      </x:patternFill>
    </x:fill>
  </x:fills>
  <x:borders count="19">
    <x:border/>
    <x:border>
      <x:right style="thin">
        <x:color rgb="FFE2E7F0"/>
      </x:right>
      <x:bottom style="thin">
        <x:color rgb="FFE2E7F0"/>
      </x:bottom>
    </x:border>
    <x:border>
      <x:left style="thin">
        <x:color rgb="FFE2E7F0"/>
      </x:left>
      <x:right style="thin">
        <x:color rgb="FFE2E7F0"/>
      </x:right>
      <x:bottom style="thin">
        <x:color rgb="FFE2E7F0"/>
      </x:bottom>
    </x:border>
    <x:border>
      <x:left style="thin">
        <x:color rgb="FFE2E7F0"/>
      </x:left>
      <x:bottom style="thin">
        <x:color rgb="FFE2E7F0"/>
      </x:bottom>
    </x:border>
    <x:border>
      <x:right style="thin">
        <x:color rgb="FFE2E7F0"/>
      </x:right>
      <x:top style="thin">
        <x:color rgb="FFE2E7F0"/>
      </x:top>
      <x:bottom style="thin">
        <x:color rgb="FFE2E7F0"/>
      </x:bottom>
    </x:border>
    <x:border>
      <x:left style="thin">
        <x:color rgb="FFE2E7F0"/>
      </x:left>
      <x:right style="thin">
        <x:color rgb="FFE2E7F0"/>
      </x:right>
      <x:top style="thin">
        <x:color rgb="FFE2E7F0"/>
      </x:top>
      <x:bottom style="thin">
        <x:color rgb="FFE2E7F0"/>
      </x:bottom>
    </x:border>
    <x:border>
      <x:left style="thin">
        <x:color rgb="FFE2E7F0"/>
      </x:left>
      <x:top style="thin">
        <x:color rgb="FFE2E7F0"/>
      </x:top>
      <x:bottom style="thin">
        <x:color rgb="FFE2E7F0"/>
      </x:bottom>
    </x:border>
    <x:border>
      <x:right style="thin">
        <x:color rgb="FFE2E7F0"/>
      </x:right>
      <x:top style="thin">
        <x:color rgb="FFE2E7F0"/>
      </x:top>
    </x:border>
    <x:border>
      <x:left style="thin">
        <x:color rgb="FFE2E7F0"/>
      </x:left>
      <x:right style="thin">
        <x:color rgb="FFE2E7F0"/>
      </x:right>
      <x:top style="thin">
        <x:color rgb="FFE2E7F0"/>
      </x:top>
    </x:border>
    <x:border>
      <x:left style="thin">
        <x:color rgb="FFE2E7F0"/>
      </x:left>
      <x:top style="thin">
        <x:color rgb="FFE2E7F0"/>
      </x:top>
    </x:border>
    <x:border>
      <x:right style="thin">
        <x:color rgb="FFDCE3EF"/>
      </x:right>
      <x:bottom style="thin">
        <x:color rgb="FFDCE3EF"/>
      </x:bottom>
    </x:border>
    <x:border>
      <x:left style="thin">
        <x:color rgb="FFDCE3EF"/>
      </x:left>
      <x:right style="thin">
        <x:color rgb="FFDCE3EF"/>
      </x:right>
      <x:bottom style="thin">
        <x:color rgb="FFDCE3EF"/>
      </x:bottom>
    </x:border>
    <x:border>
      <x:left style="thin">
        <x:color rgb="FFDCE3EF"/>
      </x:left>
      <x:bottom style="thin">
        <x:color rgb="FFDCE3EF"/>
      </x:bottom>
    </x:border>
    <x:border>
      <x:right style="thin">
        <x:color rgb="FFDCE3EF"/>
      </x:right>
      <x:top style="thin">
        <x:color rgb="FFDCE3EF"/>
      </x:top>
      <x:bottom style="thin">
        <x:color rgb="FFDCE3EF"/>
      </x:bottom>
    </x:border>
    <x:border>
      <x:left style="thin">
        <x:color rgb="FFDCE3EF"/>
      </x:left>
      <x:right style="thin">
        <x:color rgb="FFDCE3EF"/>
      </x:right>
      <x:top style="thin">
        <x:color rgb="FFDCE3EF"/>
      </x:top>
      <x:bottom style="thin">
        <x:color rgb="FFDCE3EF"/>
      </x:bottom>
    </x:border>
    <x:border>
      <x:left style="thin">
        <x:color rgb="FFDCE3EF"/>
      </x:left>
      <x:top style="thin">
        <x:color rgb="FFDCE3EF"/>
      </x:top>
      <x:bottom style="thin">
        <x:color rgb="FFDCE3EF"/>
      </x:bottom>
    </x:border>
    <x:border>
      <x:right style="thin">
        <x:color rgb="FFDCE3EF"/>
      </x:right>
      <x:top style="thin">
        <x:color rgb="FFDCE3EF"/>
      </x:top>
    </x:border>
    <x:border>
      <x:left style="thin">
        <x:color rgb="FFDCE3EF"/>
      </x:left>
      <x:right style="thin">
        <x:color rgb="FFDCE3EF"/>
      </x:right>
      <x:top style="thin">
        <x:color rgb="FFDCE3EF"/>
      </x:top>
    </x:border>
    <x:border>
      <x:left style="thin">
        <x:color rgb="FFDCE3EF"/>
      </x:left>
      <x:top style="thin">
        <x:color rgb="FFDCE3EF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0" borderId="10" xfId="0" applyNumberFormat="1" applyFont="1" applyFill="1" applyBorder="1"/>
    <x:xf numFmtId="0" fontId="0" fillId="4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4" borderId="14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4" borderId="17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53a9611684cfe" /><Relationship Type="http://schemas.openxmlformats.org/officeDocument/2006/relationships/theme" Target="/xl/theme/theme1.xml" Id="R20e27e5a71224818" /><Relationship Type="http://schemas.openxmlformats.org/officeDocument/2006/relationships/sharedStrings" Target="/xl/sharedStrings.xml" Id="R23924b41c22d4a04" /><Relationship Type="http://schemas.openxmlformats.org/officeDocument/2006/relationships/worksheet" Target="/xl/worksheets/sheet1.xml" Id="Rccc2c7d21fa14a44" /><Relationship Type="http://schemas.openxmlformats.org/officeDocument/2006/relationships/worksheet" Target="/xl/worksheets/sheet2.xml" Id="R22ae646a575b44bc" /><Relationship Type="http://schemas.openxmlformats.org/officeDocument/2006/relationships/worksheet" Target="/xl/worksheets/sheet3.xml" Id="Rc7f8a7e001c146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21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</x:cols>
  <x:sheetData>
    <x:row r="1">
      <x:c r="A1" s="13" t="str">
        <x:v>HETENA TATAKAI  •  EXCEL ARENA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31" t="str">
        <x:v>YOUR FIGHTER</x:v>
      </x:c>
      <x:c r="B4" s="32" t="str">
        <x:v>Leyla</x:v>
      </x:c>
      <x:c r="C4" s="31"/>
      <x:c r="D4" s="31" t="str">
        <x:v>YOUR HP</x:v>
      </x:c>
      <x:c r="E4" s="31" t="n">
        <x:f>VLOOKUP(B4,FIGHTERS!$A$2:$E$13,3,FALSE)</x:f>
        <x:v>22</x:v>
      </x:c>
      <x:c r="G4" s="30" t="str">
        <x:v>PLAY: choose your fighter, opponent and opening, then enter one move and die roll per turn.</x:v>
      </x:c>
      <x:c r="H4" s="30"/>
      <x:c r="I4" s="30"/>
      <x:c r="J4" s="30"/>
      <x:c r="K4" s="30"/>
      <x:c r="L4" s="30"/>
    </x:row>
    <x:row r="5">
      <x:c r="A5" s="31" t="str">
        <x:v>OPPONENT</x:v>
      </x:c>
      <x:c r="B5" s="32" t="str">
        <x:v>Eleni</x:v>
      </x:c>
      <x:c r="C5" s="31"/>
      <x:c r="D5" s="31" t="str">
        <x:v>OPPONENT HP</x:v>
      </x:c>
      <x:c r="E5" s="31" t="n">
        <x:f>VLOOKUP(B5,FIGHTERS!$A$2:$E$13,3,FALSE)</x:f>
        <x:v>21</x:v>
      </x:c>
      <x:c r="G5" s="30" t="str">
        <x:v>Only pale yellow cells are inputs. Enter the next row after the preceding row resolves.</x:v>
      </x:c>
      <x:c r="H5" s="30"/>
      <x:c r="I5" s="30"/>
      <x:c r="J5" s="30"/>
      <x:c r="K5" s="30"/>
      <x:c r="L5" s="30"/>
    </x:row>
    <x:row r="6">
      <x:c r="A6" s="31" t="str">
        <x:v>OPENING</x:v>
      </x:c>
      <x:c r="B6" s="32" t="str">
        <x:v>Aggressive</x:v>
      </x:c>
      <x:c r="C6" s="31"/>
      <x:c r="D6" s="31" t="str">
        <x:v>YOUR POWER</x:v>
      </x:c>
      <x:c r="E6" s="31" t="n">
        <x:f>VLOOKUP(B4,FIGHTERS!$A$2:$E$13,4,FALSE)</x:f>
        <x:v>3</x:v>
      </x:c>
      <x:c r="G6" s="30" t="str">
        <x:v>Strike = reliable • Kick = risk/reward • Guard = block and recover 1 HP.</x:v>
      </x:c>
      <x:c r="H6" s="30"/>
      <x:c r="I6" s="30"/>
      <x:c r="J6" s="30"/>
      <x:c r="K6" s="30"/>
      <x:c r="L6" s="30"/>
    </x:row>
    <x:row r="7">
      <x:c r="A7" s="31" t="str">
        <x:v>MATCH SEED</x:v>
      </x:c>
      <x:c r="B7" s="32" t="n">
        <x:v>17</x:v>
      </x:c>
      <x:c r="C7" s="31"/>
      <x:c r="D7" s="31" t="str">
        <x:v>OPPONENT POWER</x:v>
      </x:c>
      <x:c r="E7" s="31" t="n">
        <x:f>VLOOKUP(B5,FIGHTERS!$A$2:$E$13,4,FALSE)</x:f>
        <x:v>3</x:v>
      </x:c>
      <x:c r="G7" s="30" t="str">
        <x:v>Change seed for a fresh bot pattern. To restart, clear moves and die rolls in columns B:C.</x:v>
      </x:c>
      <x:c r="H7" s="30"/>
      <x:c r="I7" s="30"/>
      <x:c r="J7" s="30"/>
      <x:c r="K7" s="30"/>
      <x:c r="L7" s="30"/>
    </x:row>
    <x:row r="9">
      <x:c r="A9" s="34" t="str">
        <x:v>BATTLE LOG  •  24 turns maximum</x:v>
      </x:c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</x:row>
    <x:row r="10" ht="34" customHeight="1">
      <x:c r="A10" s="16" t="str">
        <x:v>TURN</x:v>
      </x:c>
      <x:c r="B10" s="16" t="str">
        <x:v>YOUR MOVE</x:v>
      </x:c>
      <x:c r="C10" s="16" t="str">
        <x:v>YOUR DIE</x:v>
      </x:c>
      <x:c r="D10" s="16" t="str">
        <x:v>BOT DIE</x:v>
      </x:c>
      <x:c r="E10" s="16" t="str">
        <x:v>BOT MOVE</x:v>
      </x:c>
      <x:c r="F10" s="16" t="str">
        <x:v>YOUR HP IN</x:v>
      </x:c>
      <x:c r="G10" s="16" t="str">
        <x:v>BOT HP IN</x:v>
      </x:c>
      <x:c r="H10" s="16" t="str">
        <x:v>DAMAGE TO BOT</x:v>
      </x:c>
      <x:c r="I10" s="16" t="str">
        <x:v>DAMAGE TO YOU</x:v>
      </x:c>
      <x:c r="J10" s="16" t="str">
        <x:v>YOUR HP OUT</x:v>
      </x:c>
      <x:c r="K10" s="16" t="str">
        <x:v>BOT HP OUT</x:v>
      </x:c>
      <x:c r="L10" s="16" t="str">
        <x:v>RESULT</x:v>
      </x:c>
    </x:row>
    <x:row r="11" ht="24" customHeight="1">
      <x:c r="A11" s="18" t="n">
        <x:v>1</x:v>
      </x:c>
      <x:c r="B11" s="19"/>
      <x:c r="C11" s="19"/>
      <x:c r="D11" s="20" t="str">
        <x:f>IF(AND(AND(B11&lt;&gt;"",ISNUMBER(C11),C11&gt;=1,C11&lt;=6,OR(B11="Strike",B11="Kick",B11="Guard")),TRUE),MOD($B$7*7+A11*11+3,6)+1,"")</x:f>
      </x:c>
      <x:c r="E11" s="20" t="str">
        <x:f>IF(D11="","",IF(MOD($B$7+A11*3,5)=0,"Kick",IF(MOD($B$7+A11,7)=0,"Guard","Strike")))</x:f>
      </x:c>
      <x:c r="F11" s="20" t="str">
        <x:f>IF(D11="","",$E$4)</x:f>
      </x:c>
      <x:c r="G11" s="20" t="str">
        <x:f>IF(D11="","",$E$5)</x:f>
      </x:c>
      <x:c r="H11" s="20" t="str">
        <x:f>IF(D11="","",MAX(0,IF(B11="Guard",0,IF(AND(B11="Kick",C11&lt;4),0,MAX(1,C11+$E$6+IF(AND(A11=1,$B$6="Aggressive"),1,0)+IF(B11="Kick",2,0)-VLOOKUP($B$5,FIGHTERS!$A$2:$E$13,5,FALSE))))-IF(E11="Guard",2,0)))</x:f>
      </x:c>
      <x:c r="I11" s="20" t="str">
        <x:f>IF(D11="","",MAX(0,IF(E11="Guard",0,IF(AND(E11="Kick",D11&lt;4),0,MAX(1,D11+$E$7+IF(E11="Kick",2,0)-VLOOKUP($B$4,FIGHTERS!$A$2:$E$13,5,FALSE))))-IF(B11="Guard",2,0)))</x:f>
      </x:c>
      <x:c r="J11" s="20" t="str">
        <x:f>IF(D11="","",MAX(0,MIN($E$4,F11+IF(B11="Guard",1,0))-I11))</x:f>
      </x:c>
      <x:c r="K11" s="20" t="str">
        <x:f>IF(D11="","",MAX(0,MIN($E$5,G11+IF(E11="Guard",1,0))-H11))</x:f>
      </x:c>
      <x:c r="L11" s="21" t="str">
        <x:f>IF(D11="","",IF(AND(J11=0,K11=0),"DRAW",IF(K11=0,"YOU WIN",IF(J11=0,"BOT WINS",IF(A11=24,IF(J11&gt;K11,"YOU WIN",IF(J11&lt;K11,"BOT WINS","DRAW")),"Continue")))))</x:f>
      </x:c>
    </x:row>
    <x:row r="12" ht="24" customHeight="1">
      <x:c r="A12" s="22" t="n">
        <x:v>2</x:v>
      </x:c>
      <x:c r="B12" s="23"/>
      <x:c r="C12" s="23"/>
      <x:c r="D12" s="24" t="str">
        <x:f>IF(AND(AND(B12&lt;&gt;"",ISNUMBER(C12),C12&gt;=1,C12&lt;=6,OR(B12="Strike",B12="Kick",B12="Guard")),AND(J11&gt;0,K11&gt;0,L11="Continue")),MOD($B$7*7+A12*11+3,6)+1,"")</x:f>
      </x:c>
      <x:c r="E12" s="24" t="str">
        <x:f>IF(D12="","",IF(MOD($B$7+A12*3,5)=0,"Kick",IF(MOD($B$7+A12,7)=0,"Guard","Strike")))</x:f>
      </x:c>
      <x:c r="F12" s="24" t="str">
        <x:f>IF(D12="","",J11)</x:f>
      </x:c>
      <x:c r="G12" s="24" t="str">
        <x:f>IF(D12="","",K11)</x:f>
      </x:c>
      <x:c r="H12" s="24" t="str">
        <x:f>IF(D12="","",MAX(0,IF(B12="Guard",0,IF(AND(B12="Kick",C12&lt;4),0,MAX(1,C12+$E$6+IF(AND(A12=1,$B$6="Aggressive"),1,0)+IF(B12="Kick",2,0)-VLOOKUP($B$5,FIGHTERS!$A$2:$E$13,5,FALSE))))-IF(E12="Guard",2,0)))</x:f>
      </x:c>
      <x:c r="I12" s="24" t="str">
        <x:f>IF(D12="","",MAX(0,IF(E12="Guard",0,IF(AND(E12="Kick",D12&lt;4),0,MAX(1,D12+$E$7+IF(E12="Kick",2,0)-VLOOKUP($B$4,FIGHTERS!$A$2:$E$13,5,FALSE))))-IF(B12="Guard",2,0)))</x:f>
      </x:c>
      <x:c r="J12" s="24" t="str">
        <x:f>IF(D12="","",MAX(0,MIN($E$4,F12+IF(B12="Guard",1,0))-I12))</x:f>
      </x:c>
      <x:c r="K12" s="24" t="str">
        <x:f>IF(D12="","",MAX(0,MIN($E$5,G12+IF(E12="Guard",1,0))-H12))</x:f>
      </x:c>
      <x:c r="L12" s="25" t="str">
        <x:f>IF(D12="","",IF(AND(J12=0,K12=0),"DRAW",IF(K12=0,"YOU WIN",IF(J12=0,"BOT WINS",IF(A12=24,IF(J12&gt;K12,"YOU WIN",IF(J12&lt;K12,"BOT WINS","DRAW")),"Continue")))))</x:f>
      </x:c>
    </x:row>
    <x:row r="13" ht="24" customHeight="1">
      <x:c r="A13" s="22" t="n">
        <x:v>3</x:v>
      </x:c>
      <x:c r="B13" s="23"/>
      <x:c r="C13" s="23"/>
      <x:c r="D13" s="24" t="str">
        <x:f>IF(AND(AND(B13&lt;&gt;"",ISNUMBER(C13),C13&gt;=1,C13&lt;=6,OR(B13="Strike",B13="Kick",B13="Guard")),AND(J12&gt;0,K12&gt;0,L12="Continue")),MOD($B$7*7+A13*11+3,6)+1,"")</x:f>
      </x:c>
      <x:c r="E13" s="24" t="str">
        <x:f>IF(D13="","",IF(MOD($B$7+A13*3,5)=0,"Kick",IF(MOD($B$7+A13,7)=0,"Guard","Strike")))</x:f>
      </x:c>
      <x:c r="F13" s="24" t="str">
        <x:f>IF(D13="","",J12)</x:f>
      </x:c>
      <x:c r="G13" s="24" t="str">
        <x:f>IF(D13="","",K12)</x:f>
      </x:c>
      <x:c r="H13" s="24" t="str">
        <x:f>IF(D13="","",MAX(0,IF(B13="Guard",0,IF(AND(B13="Kick",C13&lt;4),0,MAX(1,C13+$E$6+IF(AND(A13=1,$B$6="Aggressive"),1,0)+IF(B13="Kick",2,0)-VLOOKUP($B$5,FIGHTERS!$A$2:$E$13,5,FALSE))))-IF(E13="Guard",2,0)))</x:f>
      </x:c>
      <x:c r="I13" s="24" t="str">
        <x:f>IF(D13="","",MAX(0,IF(E13="Guard",0,IF(AND(E13="Kick",D13&lt;4),0,MAX(1,D13+$E$7+IF(E13="Kick",2,0)-VLOOKUP($B$4,FIGHTERS!$A$2:$E$13,5,FALSE))))-IF(B13="Guard",2,0)))</x:f>
      </x:c>
      <x:c r="J13" s="24" t="str">
        <x:f>IF(D13="","",MAX(0,MIN($E$4,F13+IF(B13="Guard",1,0))-I13))</x:f>
      </x:c>
      <x:c r="K13" s="24" t="str">
        <x:f>IF(D13="","",MAX(0,MIN($E$5,G13+IF(E13="Guard",1,0))-H13))</x:f>
      </x:c>
      <x:c r="L13" s="25" t="str">
        <x:f>IF(D13="","",IF(AND(J13=0,K13=0),"DRAW",IF(K13=0,"YOU WIN",IF(J13=0,"BOT WINS",IF(A13=24,IF(J13&gt;K13,"YOU WIN",IF(J13&lt;K13,"BOT WINS","DRAW")),"Continue")))))</x:f>
      </x:c>
    </x:row>
    <x:row r="14" ht="24" customHeight="1">
      <x:c r="A14" s="22" t="n">
        <x:v>4</x:v>
      </x:c>
      <x:c r="B14" s="23"/>
      <x:c r="C14" s="23"/>
      <x:c r="D14" s="24" t="str">
        <x:f>IF(AND(AND(B14&lt;&gt;"",ISNUMBER(C14),C14&gt;=1,C14&lt;=6,OR(B14="Strike",B14="Kick",B14="Guard")),AND(J13&gt;0,K13&gt;0,L13="Continue")),MOD($B$7*7+A14*11+3,6)+1,"")</x:f>
      </x:c>
      <x:c r="E14" s="24" t="str">
        <x:f>IF(D14="","",IF(MOD($B$7+A14*3,5)=0,"Kick",IF(MOD($B$7+A14,7)=0,"Guard","Strike")))</x:f>
      </x:c>
      <x:c r="F14" s="24" t="str">
        <x:f>IF(D14="","",J13)</x:f>
      </x:c>
      <x:c r="G14" s="24" t="str">
        <x:f>IF(D14="","",K13)</x:f>
      </x:c>
      <x:c r="H14" s="24" t="str">
        <x:f>IF(D14="","",MAX(0,IF(B14="Guard",0,IF(AND(B14="Kick",C14&lt;4),0,MAX(1,C14+$E$6+IF(AND(A14=1,$B$6="Aggressive"),1,0)+IF(B14="Kick",2,0)-VLOOKUP($B$5,FIGHTERS!$A$2:$E$13,5,FALSE))))-IF(E14="Guard",2,0)))</x:f>
      </x:c>
      <x:c r="I14" s="24" t="str">
        <x:f>IF(D14="","",MAX(0,IF(E14="Guard",0,IF(AND(E14="Kick",D14&lt;4),0,MAX(1,D14+$E$7+IF(E14="Kick",2,0)-VLOOKUP($B$4,FIGHTERS!$A$2:$E$13,5,FALSE))))-IF(B14="Guard",2,0)))</x:f>
      </x:c>
      <x:c r="J14" s="24" t="str">
        <x:f>IF(D14="","",MAX(0,MIN($E$4,F14+IF(B14="Guard",1,0))-I14))</x:f>
      </x:c>
      <x:c r="K14" s="24" t="str">
        <x:f>IF(D14="","",MAX(0,MIN($E$5,G14+IF(E14="Guard",1,0))-H14))</x:f>
      </x:c>
      <x:c r="L14" s="25" t="str">
        <x:f>IF(D14="","",IF(AND(J14=0,K14=0),"DRAW",IF(K14=0,"YOU WIN",IF(J14=0,"BOT WINS",IF(A14=24,IF(J14&gt;K14,"YOU WIN",IF(J14&lt;K14,"BOT WINS","DRAW")),"Continue")))))</x:f>
      </x:c>
    </x:row>
    <x:row r="15" ht="24" customHeight="1">
      <x:c r="A15" s="22" t="n">
        <x:v>5</x:v>
      </x:c>
      <x:c r="B15" s="23"/>
      <x:c r="C15" s="23"/>
      <x:c r="D15" s="24" t="str">
        <x:f>IF(AND(AND(B15&lt;&gt;"",ISNUMBER(C15),C15&gt;=1,C15&lt;=6,OR(B15="Strike",B15="Kick",B15="Guard")),AND(J14&gt;0,K14&gt;0,L14="Continue")),MOD($B$7*7+A15*11+3,6)+1,"")</x:f>
      </x:c>
      <x:c r="E15" s="24" t="str">
        <x:f>IF(D15="","",IF(MOD($B$7+A15*3,5)=0,"Kick",IF(MOD($B$7+A15,7)=0,"Guard","Strike")))</x:f>
      </x:c>
      <x:c r="F15" s="24" t="str">
        <x:f>IF(D15="","",J14)</x:f>
      </x:c>
      <x:c r="G15" s="24" t="str">
        <x:f>IF(D15="","",K14)</x:f>
      </x:c>
      <x:c r="H15" s="24" t="str">
        <x:f>IF(D15="","",MAX(0,IF(B15="Guard",0,IF(AND(B15="Kick",C15&lt;4),0,MAX(1,C15+$E$6+IF(AND(A15=1,$B$6="Aggressive"),1,0)+IF(B15="Kick",2,0)-VLOOKUP($B$5,FIGHTERS!$A$2:$E$13,5,FALSE))))-IF(E15="Guard",2,0)))</x:f>
      </x:c>
      <x:c r="I15" s="24" t="str">
        <x:f>IF(D15="","",MAX(0,IF(E15="Guard",0,IF(AND(E15="Kick",D15&lt;4),0,MAX(1,D15+$E$7+IF(E15="Kick",2,0)-VLOOKUP($B$4,FIGHTERS!$A$2:$E$13,5,FALSE))))-IF(B15="Guard",2,0)))</x:f>
      </x:c>
      <x:c r="J15" s="24" t="str">
        <x:f>IF(D15="","",MAX(0,MIN($E$4,F15+IF(B15="Guard",1,0))-I15))</x:f>
      </x:c>
      <x:c r="K15" s="24" t="str">
        <x:f>IF(D15="","",MAX(0,MIN($E$5,G15+IF(E15="Guard",1,0))-H15))</x:f>
      </x:c>
      <x:c r="L15" s="25" t="str">
        <x:f>IF(D15="","",IF(AND(J15=0,K15=0),"DRAW",IF(K15=0,"YOU WIN",IF(J15=0,"BOT WINS",IF(A15=24,IF(J15&gt;K15,"YOU WIN",IF(J15&lt;K15,"BOT WINS","DRAW")),"Continue")))))</x:f>
      </x:c>
    </x:row>
    <x:row r="16" ht="24" customHeight="1">
      <x:c r="A16" s="22" t="n">
        <x:v>6</x:v>
      </x:c>
      <x:c r="B16" s="23"/>
      <x:c r="C16" s="23"/>
      <x:c r="D16" s="24" t="str">
        <x:f>IF(AND(AND(B16&lt;&gt;"",ISNUMBER(C16),C16&gt;=1,C16&lt;=6,OR(B16="Strike",B16="Kick",B16="Guard")),AND(J15&gt;0,K15&gt;0,L15="Continue")),MOD($B$7*7+A16*11+3,6)+1,"")</x:f>
      </x:c>
      <x:c r="E16" s="24" t="str">
        <x:f>IF(D16="","",IF(MOD($B$7+A16*3,5)=0,"Kick",IF(MOD($B$7+A16,7)=0,"Guard","Strike")))</x:f>
      </x:c>
      <x:c r="F16" s="24" t="str">
        <x:f>IF(D16="","",J15)</x:f>
      </x:c>
      <x:c r="G16" s="24" t="str">
        <x:f>IF(D16="","",K15)</x:f>
      </x:c>
      <x:c r="H16" s="24" t="str">
        <x:f>IF(D16="","",MAX(0,IF(B16="Guard",0,IF(AND(B16="Kick",C16&lt;4),0,MAX(1,C16+$E$6+IF(AND(A16=1,$B$6="Aggressive"),1,0)+IF(B16="Kick",2,0)-VLOOKUP($B$5,FIGHTERS!$A$2:$E$13,5,FALSE))))-IF(E16="Guard",2,0)))</x:f>
      </x:c>
      <x:c r="I16" s="24" t="str">
        <x:f>IF(D16="","",MAX(0,IF(E16="Guard",0,IF(AND(E16="Kick",D16&lt;4),0,MAX(1,D16+$E$7+IF(E16="Kick",2,0)-VLOOKUP($B$4,FIGHTERS!$A$2:$E$13,5,FALSE))))-IF(B16="Guard",2,0)))</x:f>
      </x:c>
      <x:c r="J16" s="24" t="str">
        <x:f>IF(D16="","",MAX(0,MIN($E$4,F16+IF(B16="Guard",1,0))-I16))</x:f>
      </x:c>
      <x:c r="K16" s="24" t="str">
        <x:f>IF(D16="","",MAX(0,MIN($E$5,G16+IF(E16="Guard",1,0))-H16))</x:f>
      </x:c>
      <x:c r="L16" s="25" t="str">
        <x:f>IF(D16="","",IF(AND(J16=0,K16=0),"DRAW",IF(K16=0,"YOU WIN",IF(J16=0,"BOT WINS",IF(A16=24,IF(J16&gt;K16,"YOU WIN",IF(J16&lt;K16,"BOT WINS","DRAW")),"Continue")))))</x:f>
      </x:c>
    </x:row>
    <x:row r="17" ht="24" customHeight="1">
      <x:c r="A17" s="22" t="n">
        <x:v>7</x:v>
      </x:c>
      <x:c r="B17" s="23"/>
      <x:c r="C17" s="23"/>
      <x:c r="D17" s="24" t="str">
        <x:f>IF(AND(AND(B17&lt;&gt;"",ISNUMBER(C17),C17&gt;=1,C17&lt;=6,OR(B17="Strike",B17="Kick",B17="Guard")),AND(J16&gt;0,K16&gt;0,L16="Continue")),MOD($B$7*7+A17*11+3,6)+1,"")</x:f>
      </x:c>
      <x:c r="E17" s="24" t="str">
        <x:f>IF(D17="","",IF(MOD($B$7+A17*3,5)=0,"Kick",IF(MOD($B$7+A17,7)=0,"Guard","Strike")))</x:f>
      </x:c>
      <x:c r="F17" s="24" t="str">
        <x:f>IF(D17="","",J16)</x:f>
      </x:c>
      <x:c r="G17" s="24" t="str">
        <x:f>IF(D17="","",K16)</x:f>
      </x:c>
      <x:c r="H17" s="24" t="str">
        <x:f>IF(D17="","",MAX(0,IF(B17="Guard",0,IF(AND(B17="Kick",C17&lt;4),0,MAX(1,C17+$E$6+IF(AND(A17=1,$B$6="Aggressive"),1,0)+IF(B17="Kick",2,0)-VLOOKUP($B$5,FIGHTERS!$A$2:$E$13,5,FALSE))))-IF(E17="Guard",2,0)))</x:f>
      </x:c>
      <x:c r="I17" s="24" t="str">
        <x:f>IF(D17="","",MAX(0,IF(E17="Guard",0,IF(AND(E17="Kick",D17&lt;4),0,MAX(1,D17+$E$7+IF(E17="Kick",2,0)-VLOOKUP($B$4,FIGHTERS!$A$2:$E$13,5,FALSE))))-IF(B17="Guard",2,0)))</x:f>
      </x:c>
      <x:c r="J17" s="24" t="str">
        <x:f>IF(D17="","",MAX(0,MIN($E$4,F17+IF(B17="Guard",1,0))-I17))</x:f>
      </x:c>
      <x:c r="K17" s="24" t="str">
        <x:f>IF(D17="","",MAX(0,MIN($E$5,G17+IF(E17="Guard",1,0))-H17))</x:f>
      </x:c>
      <x:c r="L17" s="25" t="str">
        <x:f>IF(D17="","",IF(AND(J17=0,K17=0),"DRAW",IF(K17=0,"YOU WIN",IF(J17=0,"BOT WINS",IF(A17=24,IF(J17&gt;K17,"YOU WIN",IF(J17&lt;K17,"BOT WINS","DRAW")),"Continue")))))</x:f>
      </x:c>
    </x:row>
    <x:row r="18" ht="24" customHeight="1">
      <x:c r="A18" s="22" t="n">
        <x:v>8</x:v>
      </x:c>
      <x:c r="B18" s="23"/>
      <x:c r="C18" s="23"/>
      <x:c r="D18" s="24" t="str">
        <x:f>IF(AND(AND(B18&lt;&gt;"",ISNUMBER(C18),C18&gt;=1,C18&lt;=6,OR(B18="Strike",B18="Kick",B18="Guard")),AND(J17&gt;0,K17&gt;0,L17="Continue")),MOD($B$7*7+A18*11+3,6)+1,"")</x:f>
      </x:c>
      <x:c r="E18" s="24" t="str">
        <x:f>IF(D18="","",IF(MOD($B$7+A18*3,5)=0,"Kick",IF(MOD($B$7+A18,7)=0,"Guard","Strike")))</x:f>
      </x:c>
      <x:c r="F18" s="24" t="str">
        <x:f>IF(D18="","",J17)</x:f>
      </x:c>
      <x:c r="G18" s="24" t="str">
        <x:f>IF(D18="","",K17)</x:f>
      </x:c>
      <x:c r="H18" s="24" t="str">
        <x:f>IF(D18="","",MAX(0,IF(B18="Guard",0,IF(AND(B18="Kick",C18&lt;4),0,MAX(1,C18+$E$6+IF(AND(A18=1,$B$6="Aggressive"),1,0)+IF(B18="Kick",2,0)-VLOOKUP($B$5,FIGHTERS!$A$2:$E$13,5,FALSE))))-IF(E18="Guard",2,0)))</x:f>
      </x:c>
      <x:c r="I18" s="24" t="str">
        <x:f>IF(D18="","",MAX(0,IF(E18="Guard",0,IF(AND(E18="Kick",D18&lt;4),0,MAX(1,D18+$E$7+IF(E18="Kick",2,0)-VLOOKUP($B$4,FIGHTERS!$A$2:$E$13,5,FALSE))))-IF(B18="Guard",2,0)))</x:f>
      </x:c>
      <x:c r="J18" s="24" t="str">
        <x:f>IF(D18="","",MAX(0,MIN($E$4,F18+IF(B18="Guard",1,0))-I18))</x:f>
      </x:c>
      <x:c r="K18" s="24" t="str">
        <x:f>IF(D18="","",MAX(0,MIN($E$5,G18+IF(E18="Guard",1,0))-H18))</x:f>
      </x:c>
      <x:c r="L18" s="25" t="str">
        <x:f>IF(D18="","",IF(AND(J18=0,K18=0),"DRAW",IF(K18=0,"YOU WIN",IF(J18=0,"BOT WINS",IF(A18=24,IF(J18&gt;K18,"YOU WIN",IF(J18&lt;K18,"BOT WINS","DRAW")),"Continue")))))</x:f>
      </x:c>
    </x:row>
    <x:row r="19" ht="24" customHeight="1">
      <x:c r="A19" s="22" t="n">
        <x:v>9</x:v>
      </x:c>
      <x:c r="B19" s="23"/>
      <x:c r="C19" s="23"/>
      <x:c r="D19" s="24" t="str">
        <x:f>IF(AND(AND(B19&lt;&gt;"",ISNUMBER(C19),C19&gt;=1,C19&lt;=6,OR(B19="Strike",B19="Kick",B19="Guard")),AND(J18&gt;0,K18&gt;0,L18="Continue")),MOD($B$7*7+A19*11+3,6)+1,"")</x:f>
      </x:c>
      <x:c r="E19" s="24" t="str">
        <x:f>IF(D19="","",IF(MOD($B$7+A19*3,5)=0,"Kick",IF(MOD($B$7+A19,7)=0,"Guard","Strike")))</x:f>
      </x:c>
      <x:c r="F19" s="24" t="str">
        <x:f>IF(D19="","",J18)</x:f>
      </x:c>
      <x:c r="G19" s="24" t="str">
        <x:f>IF(D19="","",K18)</x:f>
      </x:c>
      <x:c r="H19" s="24" t="str">
        <x:f>IF(D19="","",MAX(0,IF(B19="Guard",0,IF(AND(B19="Kick",C19&lt;4),0,MAX(1,C19+$E$6+IF(AND(A19=1,$B$6="Aggressive"),1,0)+IF(B19="Kick",2,0)-VLOOKUP($B$5,FIGHTERS!$A$2:$E$13,5,FALSE))))-IF(E19="Guard",2,0)))</x:f>
      </x:c>
      <x:c r="I19" s="24" t="str">
        <x:f>IF(D19="","",MAX(0,IF(E19="Guard",0,IF(AND(E19="Kick",D19&lt;4),0,MAX(1,D19+$E$7+IF(E19="Kick",2,0)-VLOOKUP($B$4,FIGHTERS!$A$2:$E$13,5,FALSE))))-IF(B19="Guard",2,0)))</x:f>
      </x:c>
      <x:c r="J19" s="24" t="str">
        <x:f>IF(D19="","",MAX(0,MIN($E$4,F19+IF(B19="Guard",1,0))-I19))</x:f>
      </x:c>
      <x:c r="K19" s="24" t="str">
        <x:f>IF(D19="","",MAX(0,MIN($E$5,G19+IF(E19="Guard",1,0))-H19))</x:f>
      </x:c>
      <x:c r="L19" s="25" t="str">
        <x:f>IF(D19="","",IF(AND(J19=0,K19=0),"DRAW",IF(K19=0,"YOU WIN",IF(J19=0,"BOT WINS",IF(A19=24,IF(J19&gt;K19,"YOU WIN",IF(J19&lt;K19,"BOT WINS","DRAW")),"Continue")))))</x:f>
      </x:c>
    </x:row>
    <x:row r="20" ht="24" customHeight="1">
      <x:c r="A20" s="22" t="n">
        <x:v>10</x:v>
      </x:c>
      <x:c r="B20" s="23"/>
      <x:c r="C20" s="23"/>
      <x:c r="D20" s="24" t="str">
        <x:f>IF(AND(AND(B20&lt;&gt;"",ISNUMBER(C20),C20&gt;=1,C20&lt;=6,OR(B20="Strike",B20="Kick",B20="Guard")),AND(J19&gt;0,K19&gt;0,L19="Continue")),MOD($B$7*7+A20*11+3,6)+1,"")</x:f>
      </x:c>
      <x:c r="E20" s="24" t="str">
        <x:f>IF(D20="","",IF(MOD($B$7+A20*3,5)=0,"Kick",IF(MOD($B$7+A20,7)=0,"Guard","Strike")))</x:f>
      </x:c>
      <x:c r="F20" s="24" t="str">
        <x:f>IF(D20="","",J19)</x:f>
      </x:c>
      <x:c r="G20" s="24" t="str">
        <x:f>IF(D20="","",K19)</x:f>
      </x:c>
      <x:c r="H20" s="24" t="str">
        <x:f>IF(D20="","",MAX(0,IF(B20="Guard",0,IF(AND(B20="Kick",C20&lt;4),0,MAX(1,C20+$E$6+IF(AND(A20=1,$B$6="Aggressive"),1,0)+IF(B20="Kick",2,0)-VLOOKUP($B$5,FIGHTERS!$A$2:$E$13,5,FALSE))))-IF(E20="Guard",2,0)))</x:f>
      </x:c>
      <x:c r="I20" s="24" t="str">
        <x:f>IF(D20="","",MAX(0,IF(E20="Guard",0,IF(AND(E20="Kick",D20&lt;4),0,MAX(1,D20+$E$7+IF(E20="Kick",2,0)-VLOOKUP($B$4,FIGHTERS!$A$2:$E$13,5,FALSE))))-IF(B20="Guard",2,0)))</x:f>
      </x:c>
      <x:c r="J20" s="24" t="str">
        <x:f>IF(D20="","",MAX(0,MIN($E$4,F20+IF(B20="Guard",1,0))-I20))</x:f>
      </x:c>
      <x:c r="K20" s="24" t="str">
        <x:f>IF(D20="","",MAX(0,MIN($E$5,G20+IF(E20="Guard",1,0))-H20))</x:f>
      </x:c>
      <x:c r="L20" s="25" t="str">
        <x:f>IF(D20="","",IF(AND(J20=0,K20=0),"DRAW",IF(K20=0,"YOU WIN",IF(J20=0,"BOT WINS",IF(A20=24,IF(J20&gt;K20,"YOU WIN",IF(J20&lt;K20,"BOT WINS","DRAW")),"Continue")))))</x:f>
      </x:c>
    </x:row>
    <x:row r="21" ht="24" customHeight="1">
      <x:c r="A21" s="22" t="n">
        <x:v>11</x:v>
      </x:c>
      <x:c r="B21" s="23"/>
      <x:c r="C21" s="23"/>
      <x:c r="D21" s="24" t="str">
        <x:f>IF(AND(AND(B21&lt;&gt;"",ISNUMBER(C21),C21&gt;=1,C21&lt;=6,OR(B21="Strike",B21="Kick",B21="Guard")),AND(J20&gt;0,K20&gt;0,L20="Continue")),MOD($B$7*7+A21*11+3,6)+1,"")</x:f>
      </x:c>
      <x:c r="E21" s="24" t="str">
        <x:f>IF(D21="","",IF(MOD($B$7+A21*3,5)=0,"Kick",IF(MOD($B$7+A21,7)=0,"Guard","Strike")))</x:f>
      </x:c>
      <x:c r="F21" s="24" t="str">
        <x:f>IF(D21="","",J20)</x:f>
      </x:c>
      <x:c r="G21" s="24" t="str">
        <x:f>IF(D21="","",K20)</x:f>
      </x:c>
      <x:c r="H21" s="24" t="str">
        <x:f>IF(D21="","",MAX(0,IF(B21="Guard",0,IF(AND(B21="Kick",C21&lt;4),0,MAX(1,C21+$E$6+IF(AND(A21=1,$B$6="Aggressive"),1,0)+IF(B21="Kick",2,0)-VLOOKUP($B$5,FIGHTERS!$A$2:$E$13,5,FALSE))))-IF(E21="Guard",2,0)))</x:f>
      </x:c>
      <x:c r="I21" s="24" t="str">
        <x:f>IF(D21="","",MAX(0,IF(E21="Guard",0,IF(AND(E21="Kick",D21&lt;4),0,MAX(1,D21+$E$7+IF(E21="Kick",2,0)-VLOOKUP($B$4,FIGHTERS!$A$2:$E$13,5,FALSE))))-IF(B21="Guard",2,0)))</x:f>
      </x:c>
      <x:c r="J21" s="24" t="str">
        <x:f>IF(D21="","",MAX(0,MIN($E$4,F21+IF(B21="Guard",1,0))-I21))</x:f>
      </x:c>
      <x:c r="K21" s="24" t="str">
        <x:f>IF(D21="","",MAX(0,MIN($E$5,G21+IF(E21="Guard",1,0))-H21))</x:f>
      </x:c>
      <x:c r="L21" s="25" t="str">
        <x:f>IF(D21="","",IF(AND(J21=0,K21=0),"DRAW",IF(K21=0,"YOU WIN",IF(J21=0,"BOT WINS",IF(A21=24,IF(J21&gt;K21,"YOU WIN",IF(J21&lt;K21,"BOT WINS","DRAW")),"Continue")))))</x:f>
      </x:c>
    </x:row>
    <x:row r="22" ht="24" customHeight="1">
      <x:c r="A22" s="22" t="n">
        <x:v>12</x:v>
      </x:c>
      <x:c r="B22" s="23"/>
      <x:c r="C22" s="23"/>
      <x:c r="D22" s="24" t="str">
        <x:f>IF(AND(AND(B22&lt;&gt;"",ISNUMBER(C22),C22&gt;=1,C22&lt;=6,OR(B22="Strike",B22="Kick",B22="Guard")),AND(J21&gt;0,K21&gt;0,L21="Continue")),MOD($B$7*7+A22*11+3,6)+1,"")</x:f>
      </x:c>
      <x:c r="E22" s="24" t="str">
        <x:f>IF(D22="","",IF(MOD($B$7+A22*3,5)=0,"Kick",IF(MOD($B$7+A22,7)=0,"Guard","Strike")))</x:f>
      </x:c>
      <x:c r="F22" s="24" t="str">
        <x:f>IF(D22="","",J21)</x:f>
      </x:c>
      <x:c r="G22" s="24" t="str">
        <x:f>IF(D22="","",K21)</x:f>
      </x:c>
      <x:c r="H22" s="24" t="str">
        <x:f>IF(D22="","",MAX(0,IF(B22="Guard",0,IF(AND(B22="Kick",C22&lt;4),0,MAX(1,C22+$E$6+IF(AND(A22=1,$B$6="Aggressive"),1,0)+IF(B22="Kick",2,0)-VLOOKUP($B$5,FIGHTERS!$A$2:$E$13,5,FALSE))))-IF(E22="Guard",2,0)))</x:f>
      </x:c>
      <x:c r="I22" s="24" t="str">
        <x:f>IF(D22="","",MAX(0,IF(E22="Guard",0,IF(AND(E22="Kick",D22&lt;4),0,MAX(1,D22+$E$7+IF(E22="Kick",2,0)-VLOOKUP($B$4,FIGHTERS!$A$2:$E$13,5,FALSE))))-IF(B22="Guard",2,0)))</x:f>
      </x:c>
      <x:c r="J22" s="24" t="str">
        <x:f>IF(D22="","",MAX(0,MIN($E$4,F22+IF(B22="Guard",1,0))-I22))</x:f>
      </x:c>
      <x:c r="K22" s="24" t="str">
        <x:f>IF(D22="","",MAX(0,MIN($E$5,G22+IF(E22="Guard",1,0))-H22))</x:f>
      </x:c>
      <x:c r="L22" s="25" t="str">
        <x:f>IF(D22="","",IF(AND(J22=0,K22=0),"DRAW",IF(K22=0,"YOU WIN",IF(J22=0,"BOT WINS",IF(A22=24,IF(J22&gt;K22,"YOU WIN",IF(J22&lt;K22,"BOT WINS","DRAW")),"Continue")))))</x:f>
      </x:c>
    </x:row>
    <x:row r="23" ht="24" customHeight="1">
      <x:c r="A23" s="22" t="n">
        <x:v>13</x:v>
      </x:c>
      <x:c r="B23" s="23"/>
      <x:c r="C23" s="23"/>
      <x:c r="D23" s="24" t="str">
        <x:f>IF(AND(AND(B23&lt;&gt;"",ISNUMBER(C23),C23&gt;=1,C23&lt;=6,OR(B23="Strike",B23="Kick",B23="Guard")),AND(J22&gt;0,K22&gt;0,L22="Continue")),MOD($B$7*7+A23*11+3,6)+1,"")</x:f>
      </x:c>
      <x:c r="E23" s="24" t="str">
        <x:f>IF(D23="","",IF(MOD($B$7+A23*3,5)=0,"Kick",IF(MOD($B$7+A23,7)=0,"Guard","Strike")))</x:f>
      </x:c>
      <x:c r="F23" s="24" t="str">
        <x:f>IF(D23="","",J22)</x:f>
      </x:c>
      <x:c r="G23" s="24" t="str">
        <x:f>IF(D23="","",K22)</x:f>
      </x:c>
      <x:c r="H23" s="24" t="str">
        <x:f>IF(D23="","",MAX(0,IF(B23="Guard",0,IF(AND(B23="Kick",C23&lt;4),0,MAX(1,C23+$E$6+IF(AND(A23=1,$B$6="Aggressive"),1,0)+IF(B23="Kick",2,0)-VLOOKUP($B$5,FIGHTERS!$A$2:$E$13,5,FALSE))))-IF(E23="Guard",2,0)))</x:f>
      </x:c>
      <x:c r="I23" s="24" t="str">
        <x:f>IF(D23="","",MAX(0,IF(E23="Guard",0,IF(AND(E23="Kick",D23&lt;4),0,MAX(1,D23+$E$7+IF(E23="Kick",2,0)-VLOOKUP($B$4,FIGHTERS!$A$2:$E$13,5,FALSE))))-IF(B23="Guard",2,0)))</x:f>
      </x:c>
      <x:c r="J23" s="24" t="str">
        <x:f>IF(D23="","",MAX(0,MIN($E$4,F23+IF(B23="Guard",1,0))-I23))</x:f>
      </x:c>
      <x:c r="K23" s="24" t="str">
        <x:f>IF(D23="","",MAX(0,MIN($E$5,G23+IF(E23="Guard",1,0))-H23))</x:f>
      </x:c>
      <x:c r="L23" s="25" t="str">
        <x:f>IF(D23="","",IF(AND(J23=0,K23=0),"DRAW",IF(K23=0,"YOU WIN",IF(J23=0,"BOT WINS",IF(A23=24,IF(J23&gt;K23,"YOU WIN",IF(J23&lt;K23,"BOT WINS","DRAW")),"Continue")))))</x:f>
      </x:c>
    </x:row>
    <x:row r="24" ht="24" customHeight="1">
      <x:c r="A24" s="22" t="n">
        <x:v>14</x:v>
      </x:c>
      <x:c r="B24" s="23"/>
      <x:c r="C24" s="23"/>
      <x:c r="D24" s="24" t="str">
        <x:f>IF(AND(AND(B24&lt;&gt;"",ISNUMBER(C24),C24&gt;=1,C24&lt;=6,OR(B24="Strike",B24="Kick",B24="Guard")),AND(J23&gt;0,K23&gt;0,L23="Continue")),MOD($B$7*7+A24*11+3,6)+1,"")</x:f>
      </x:c>
      <x:c r="E24" s="24" t="str">
        <x:f>IF(D24="","",IF(MOD($B$7+A24*3,5)=0,"Kick",IF(MOD($B$7+A24,7)=0,"Guard","Strike")))</x:f>
      </x:c>
      <x:c r="F24" s="24" t="str">
        <x:f>IF(D24="","",J23)</x:f>
      </x:c>
      <x:c r="G24" s="24" t="str">
        <x:f>IF(D24="","",K23)</x:f>
      </x:c>
      <x:c r="H24" s="24" t="str">
        <x:f>IF(D24="","",MAX(0,IF(B24="Guard",0,IF(AND(B24="Kick",C24&lt;4),0,MAX(1,C24+$E$6+IF(AND(A24=1,$B$6="Aggressive"),1,0)+IF(B24="Kick",2,0)-VLOOKUP($B$5,FIGHTERS!$A$2:$E$13,5,FALSE))))-IF(E24="Guard",2,0)))</x:f>
      </x:c>
      <x:c r="I24" s="24" t="str">
        <x:f>IF(D24="","",MAX(0,IF(E24="Guard",0,IF(AND(E24="Kick",D24&lt;4),0,MAX(1,D24+$E$7+IF(E24="Kick",2,0)-VLOOKUP($B$4,FIGHTERS!$A$2:$E$13,5,FALSE))))-IF(B24="Guard",2,0)))</x:f>
      </x:c>
      <x:c r="J24" s="24" t="str">
        <x:f>IF(D24="","",MAX(0,MIN($E$4,F24+IF(B24="Guard",1,0))-I24))</x:f>
      </x:c>
      <x:c r="K24" s="24" t="str">
        <x:f>IF(D24="","",MAX(0,MIN($E$5,G24+IF(E24="Guard",1,0))-H24))</x:f>
      </x:c>
      <x:c r="L24" s="25" t="str">
        <x:f>IF(D24="","",IF(AND(J24=0,K24=0),"DRAW",IF(K24=0,"YOU WIN",IF(J24=0,"BOT WINS",IF(A24=24,IF(J24&gt;K24,"YOU WIN",IF(J24&lt;K24,"BOT WINS","DRAW")),"Continue")))))</x:f>
      </x:c>
    </x:row>
    <x:row r="25" ht="24" customHeight="1">
      <x:c r="A25" s="22" t="n">
        <x:v>15</x:v>
      </x:c>
      <x:c r="B25" s="23"/>
      <x:c r="C25" s="23"/>
      <x:c r="D25" s="24" t="str">
        <x:f>IF(AND(AND(B25&lt;&gt;"",ISNUMBER(C25),C25&gt;=1,C25&lt;=6,OR(B25="Strike",B25="Kick",B25="Guard")),AND(J24&gt;0,K24&gt;0,L24="Continue")),MOD($B$7*7+A25*11+3,6)+1,"")</x:f>
      </x:c>
      <x:c r="E25" s="24" t="str">
        <x:f>IF(D25="","",IF(MOD($B$7+A25*3,5)=0,"Kick",IF(MOD($B$7+A25,7)=0,"Guard","Strike")))</x:f>
      </x:c>
      <x:c r="F25" s="24" t="str">
        <x:f>IF(D25="","",J24)</x:f>
      </x:c>
      <x:c r="G25" s="24" t="str">
        <x:f>IF(D25="","",K24)</x:f>
      </x:c>
      <x:c r="H25" s="24" t="str">
        <x:f>IF(D25="","",MAX(0,IF(B25="Guard",0,IF(AND(B25="Kick",C25&lt;4),0,MAX(1,C25+$E$6+IF(AND(A25=1,$B$6="Aggressive"),1,0)+IF(B25="Kick",2,0)-VLOOKUP($B$5,FIGHTERS!$A$2:$E$13,5,FALSE))))-IF(E25="Guard",2,0)))</x:f>
      </x:c>
      <x:c r="I25" s="24" t="str">
        <x:f>IF(D25="","",MAX(0,IF(E25="Guard",0,IF(AND(E25="Kick",D25&lt;4),0,MAX(1,D25+$E$7+IF(E25="Kick",2,0)-VLOOKUP($B$4,FIGHTERS!$A$2:$E$13,5,FALSE))))-IF(B25="Guard",2,0)))</x:f>
      </x:c>
      <x:c r="J25" s="24" t="str">
        <x:f>IF(D25="","",MAX(0,MIN($E$4,F25+IF(B25="Guard",1,0))-I25))</x:f>
      </x:c>
      <x:c r="K25" s="24" t="str">
        <x:f>IF(D25="","",MAX(0,MIN($E$5,G25+IF(E25="Guard",1,0))-H25))</x:f>
      </x:c>
      <x:c r="L25" s="25" t="str">
        <x:f>IF(D25="","",IF(AND(J25=0,K25=0),"DRAW",IF(K25=0,"YOU WIN",IF(J25=0,"BOT WINS",IF(A25=24,IF(J25&gt;K25,"YOU WIN",IF(J25&lt;K25,"BOT WINS","DRAW")),"Continue")))))</x:f>
      </x:c>
    </x:row>
    <x:row r="26" ht="24" customHeight="1">
      <x:c r="A26" s="22" t="n">
        <x:v>16</x:v>
      </x:c>
      <x:c r="B26" s="23"/>
      <x:c r="C26" s="23"/>
      <x:c r="D26" s="24" t="str">
        <x:f>IF(AND(AND(B26&lt;&gt;"",ISNUMBER(C26),C26&gt;=1,C26&lt;=6,OR(B26="Strike",B26="Kick",B26="Guard")),AND(J25&gt;0,K25&gt;0,L25="Continue")),MOD($B$7*7+A26*11+3,6)+1,"")</x:f>
      </x:c>
      <x:c r="E26" s="24" t="str">
        <x:f>IF(D26="","",IF(MOD($B$7+A26*3,5)=0,"Kick",IF(MOD($B$7+A26,7)=0,"Guard","Strike")))</x:f>
      </x:c>
      <x:c r="F26" s="24" t="str">
        <x:f>IF(D26="","",J25)</x:f>
      </x:c>
      <x:c r="G26" s="24" t="str">
        <x:f>IF(D26="","",K25)</x:f>
      </x:c>
      <x:c r="H26" s="24" t="str">
        <x:f>IF(D26="","",MAX(0,IF(B26="Guard",0,IF(AND(B26="Kick",C26&lt;4),0,MAX(1,C26+$E$6+IF(AND(A26=1,$B$6="Aggressive"),1,0)+IF(B26="Kick",2,0)-VLOOKUP($B$5,FIGHTERS!$A$2:$E$13,5,FALSE))))-IF(E26="Guard",2,0)))</x:f>
      </x:c>
      <x:c r="I26" s="24" t="str">
        <x:f>IF(D26="","",MAX(0,IF(E26="Guard",0,IF(AND(E26="Kick",D26&lt;4),0,MAX(1,D26+$E$7+IF(E26="Kick",2,0)-VLOOKUP($B$4,FIGHTERS!$A$2:$E$13,5,FALSE))))-IF(B26="Guard",2,0)))</x:f>
      </x:c>
      <x:c r="J26" s="24" t="str">
        <x:f>IF(D26="","",MAX(0,MIN($E$4,F26+IF(B26="Guard",1,0))-I26))</x:f>
      </x:c>
      <x:c r="K26" s="24" t="str">
        <x:f>IF(D26="","",MAX(0,MIN($E$5,G26+IF(E26="Guard",1,0))-H26))</x:f>
      </x:c>
      <x:c r="L26" s="25" t="str">
        <x:f>IF(D26="","",IF(AND(J26=0,K26=0),"DRAW",IF(K26=0,"YOU WIN",IF(J26=0,"BOT WINS",IF(A26=24,IF(J26&gt;K26,"YOU WIN",IF(J26&lt;K26,"BOT WINS","DRAW")),"Continue")))))</x:f>
      </x:c>
    </x:row>
    <x:row r="27" ht="24" customHeight="1">
      <x:c r="A27" s="22" t="n">
        <x:v>17</x:v>
      </x:c>
      <x:c r="B27" s="23"/>
      <x:c r="C27" s="23"/>
      <x:c r="D27" s="24" t="str">
        <x:f>IF(AND(AND(B27&lt;&gt;"",ISNUMBER(C27),C27&gt;=1,C27&lt;=6,OR(B27="Strike",B27="Kick",B27="Guard")),AND(J26&gt;0,K26&gt;0,L26="Continue")),MOD($B$7*7+A27*11+3,6)+1,"")</x:f>
      </x:c>
      <x:c r="E27" s="24" t="str">
        <x:f>IF(D27="","",IF(MOD($B$7+A27*3,5)=0,"Kick",IF(MOD($B$7+A27,7)=0,"Guard","Strike")))</x:f>
      </x:c>
      <x:c r="F27" s="24" t="str">
        <x:f>IF(D27="","",J26)</x:f>
      </x:c>
      <x:c r="G27" s="24" t="str">
        <x:f>IF(D27="","",K26)</x:f>
      </x:c>
      <x:c r="H27" s="24" t="str">
        <x:f>IF(D27="","",MAX(0,IF(B27="Guard",0,IF(AND(B27="Kick",C27&lt;4),0,MAX(1,C27+$E$6+IF(AND(A27=1,$B$6="Aggressive"),1,0)+IF(B27="Kick",2,0)-VLOOKUP($B$5,FIGHTERS!$A$2:$E$13,5,FALSE))))-IF(E27="Guard",2,0)))</x:f>
      </x:c>
      <x:c r="I27" s="24" t="str">
        <x:f>IF(D27="","",MAX(0,IF(E27="Guard",0,IF(AND(E27="Kick",D27&lt;4),0,MAX(1,D27+$E$7+IF(E27="Kick",2,0)-VLOOKUP($B$4,FIGHTERS!$A$2:$E$13,5,FALSE))))-IF(B27="Guard",2,0)))</x:f>
      </x:c>
      <x:c r="J27" s="24" t="str">
        <x:f>IF(D27="","",MAX(0,MIN($E$4,F27+IF(B27="Guard",1,0))-I27))</x:f>
      </x:c>
      <x:c r="K27" s="24" t="str">
        <x:f>IF(D27="","",MAX(0,MIN($E$5,G27+IF(E27="Guard",1,0))-H27))</x:f>
      </x:c>
      <x:c r="L27" s="25" t="str">
        <x:f>IF(D27="","",IF(AND(J27=0,K27=0),"DRAW",IF(K27=0,"YOU WIN",IF(J27=0,"BOT WINS",IF(A27=24,IF(J27&gt;K27,"YOU WIN",IF(J27&lt;K27,"BOT WINS","DRAW")),"Continue")))))</x:f>
      </x:c>
    </x:row>
    <x:row r="28" ht="24" customHeight="1">
      <x:c r="A28" s="22" t="n">
        <x:v>18</x:v>
      </x:c>
      <x:c r="B28" s="23"/>
      <x:c r="C28" s="23"/>
      <x:c r="D28" s="24" t="str">
        <x:f>IF(AND(AND(B28&lt;&gt;"",ISNUMBER(C28),C28&gt;=1,C28&lt;=6,OR(B28="Strike",B28="Kick",B28="Guard")),AND(J27&gt;0,K27&gt;0,L27="Continue")),MOD($B$7*7+A28*11+3,6)+1,"")</x:f>
      </x:c>
      <x:c r="E28" s="24" t="str">
        <x:f>IF(D28="","",IF(MOD($B$7+A28*3,5)=0,"Kick",IF(MOD($B$7+A28,7)=0,"Guard","Strike")))</x:f>
      </x:c>
      <x:c r="F28" s="24" t="str">
        <x:f>IF(D28="","",J27)</x:f>
      </x:c>
      <x:c r="G28" s="24" t="str">
        <x:f>IF(D28="","",K27)</x:f>
      </x:c>
      <x:c r="H28" s="24" t="str">
        <x:f>IF(D28="","",MAX(0,IF(B28="Guard",0,IF(AND(B28="Kick",C28&lt;4),0,MAX(1,C28+$E$6+IF(AND(A28=1,$B$6="Aggressive"),1,0)+IF(B28="Kick",2,0)-VLOOKUP($B$5,FIGHTERS!$A$2:$E$13,5,FALSE))))-IF(E28="Guard",2,0)))</x:f>
      </x:c>
      <x:c r="I28" s="24" t="str">
        <x:f>IF(D28="","",MAX(0,IF(E28="Guard",0,IF(AND(E28="Kick",D28&lt;4),0,MAX(1,D28+$E$7+IF(E28="Kick",2,0)-VLOOKUP($B$4,FIGHTERS!$A$2:$E$13,5,FALSE))))-IF(B28="Guard",2,0)))</x:f>
      </x:c>
      <x:c r="J28" s="24" t="str">
        <x:f>IF(D28="","",MAX(0,MIN($E$4,F28+IF(B28="Guard",1,0))-I28))</x:f>
      </x:c>
      <x:c r="K28" s="24" t="str">
        <x:f>IF(D28="","",MAX(0,MIN($E$5,G28+IF(E28="Guard",1,0))-H28))</x:f>
      </x:c>
      <x:c r="L28" s="25" t="str">
        <x:f>IF(D28="","",IF(AND(J28=0,K28=0),"DRAW",IF(K28=0,"YOU WIN",IF(J28=0,"BOT WINS",IF(A28=24,IF(J28&gt;K28,"YOU WIN",IF(J28&lt;K28,"BOT WINS","DRAW")),"Continue")))))</x:f>
      </x:c>
    </x:row>
    <x:row r="29" ht="24" customHeight="1">
      <x:c r="A29" s="22" t="n">
        <x:v>19</x:v>
      </x:c>
      <x:c r="B29" s="23"/>
      <x:c r="C29" s="23"/>
      <x:c r="D29" s="24" t="str">
        <x:f>IF(AND(AND(B29&lt;&gt;"",ISNUMBER(C29),C29&gt;=1,C29&lt;=6,OR(B29="Strike",B29="Kick",B29="Guard")),AND(J28&gt;0,K28&gt;0,L28="Continue")),MOD($B$7*7+A29*11+3,6)+1,"")</x:f>
      </x:c>
      <x:c r="E29" s="24" t="str">
        <x:f>IF(D29="","",IF(MOD($B$7+A29*3,5)=0,"Kick",IF(MOD($B$7+A29,7)=0,"Guard","Strike")))</x:f>
      </x:c>
      <x:c r="F29" s="24" t="str">
        <x:f>IF(D29="","",J28)</x:f>
      </x:c>
      <x:c r="G29" s="24" t="str">
        <x:f>IF(D29="","",K28)</x:f>
      </x:c>
      <x:c r="H29" s="24" t="str">
        <x:f>IF(D29="","",MAX(0,IF(B29="Guard",0,IF(AND(B29="Kick",C29&lt;4),0,MAX(1,C29+$E$6+IF(AND(A29=1,$B$6="Aggressive"),1,0)+IF(B29="Kick",2,0)-VLOOKUP($B$5,FIGHTERS!$A$2:$E$13,5,FALSE))))-IF(E29="Guard",2,0)))</x:f>
      </x:c>
      <x:c r="I29" s="24" t="str">
        <x:f>IF(D29="","",MAX(0,IF(E29="Guard",0,IF(AND(E29="Kick",D29&lt;4),0,MAX(1,D29+$E$7+IF(E29="Kick",2,0)-VLOOKUP($B$4,FIGHTERS!$A$2:$E$13,5,FALSE))))-IF(B29="Guard",2,0)))</x:f>
      </x:c>
      <x:c r="J29" s="24" t="str">
        <x:f>IF(D29="","",MAX(0,MIN($E$4,F29+IF(B29="Guard",1,0))-I29))</x:f>
      </x:c>
      <x:c r="K29" s="24" t="str">
        <x:f>IF(D29="","",MAX(0,MIN($E$5,G29+IF(E29="Guard",1,0))-H29))</x:f>
      </x:c>
      <x:c r="L29" s="25" t="str">
        <x:f>IF(D29="","",IF(AND(J29=0,K29=0),"DRAW",IF(K29=0,"YOU WIN",IF(J29=0,"BOT WINS",IF(A29=24,IF(J29&gt;K29,"YOU WIN",IF(J29&lt;K29,"BOT WINS","DRAW")),"Continue")))))</x:f>
      </x:c>
    </x:row>
    <x:row r="30" ht="24" customHeight="1">
      <x:c r="A30" s="22" t="n">
        <x:v>20</x:v>
      </x:c>
      <x:c r="B30" s="23"/>
      <x:c r="C30" s="23"/>
      <x:c r="D30" s="24" t="str">
        <x:f>IF(AND(AND(B30&lt;&gt;"",ISNUMBER(C30),C30&gt;=1,C30&lt;=6,OR(B30="Strike",B30="Kick",B30="Guard")),AND(J29&gt;0,K29&gt;0,L29="Continue")),MOD($B$7*7+A30*11+3,6)+1,"")</x:f>
      </x:c>
      <x:c r="E30" s="24" t="str">
        <x:f>IF(D30="","",IF(MOD($B$7+A30*3,5)=0,"Kick",IF(MOD($B$7+A30,7)=0,"Guard","Strike")))</x:f>
      </x:c>
      <x:c r="F30" s="24" t="str">
        <x:f>IF(D30="","",J29)</x:f>
      </x:c>
      <x:c r="G30" s="24" t="str">
        <x:f>IF(D30="","",K29)</x:f>
      </x:c>
      <x:c r="H30" s="24" t="str">
        <x:f>IF(D30="","",MAX(0,IF(B30="Guard",0,IF(AND(B30="Kick",C30&lt;4),0,MAX(1,C30+$E$6+IF(AND(A30=1,$B$6="Aggressive"),1,0)+IF(B30="Kick",2,0)-VLOOKUP($B$5,FIGHTERS!$A$2:$E$13,5,FALSE))))-IF(E30="Guard",2,0)))</x:f>
      </x:c>
      <x:c r="I30" s="24" t="str">
        <x:f>IF(D30="","",MAX(0,IF(E30="Guard",0,IF(AND(E30="Kick",D30&lt;4),0,MAX(1,D30+$E$7+IF(E30="Kick",2,0)-VLOOKUP($B$4,FIGHTERS!$A$2:$E$13,5,FALSE))))-IF(B30="Guard",2,0)))</x:f>
      </x:c>
      <x:c r="J30" s="24" t="str">
        <x:f>IF(D30="","",MAX(0,MIN($E$4,F30+IF(B30="Guard",1,0))-I30))</x:f>
      </x:c>
      <x:c r="K30" s="24" t="str">
        <x:f>IF(D30="","",MAX(0,MIN($E$5,G30+IF(E30="Guard",1,0))-H30))</x:f>
      </x:c>
      <x:c r="L30" s="25" t="str">
        <x:f>IF(D30="","",IF(AND(J30=0,K30=0),"DRAW",IF(K30=0,"YOU WIN",IF(J30=0,"BOT WINS",IF(A30=24,IF(J30&gt;K30,"YOU WIN",IF(J30&lt;K30,"BOT WINS","DRAW")),"Continue")))))</x:f>
      </x:c>
    </x:row>
    <x:row r="31" ht="24" customHeight="1">
      <x:c r="A31" s="22" t="n">
        <x:v>21</x:v>
      </x:c>
      <x:c r="B31" s="23"/>
      <x:c r="C31" s="23"/>
      <x:c r="D31" s="24" t="str">
        <x:f>IF(AND(AND(B31&lt;&gt;"",ISNUMBER(C31),C31&gt;=1,C31&lt;=6,OR(B31="Strike",B31="Kick",B31="Guard")),AND(J30&gt;0,K30&gt;0,L30="Continue")),MOD($B$7*7+A31*11+3,6)+1,"")</x:f>
      </x:c>
      <x:c r="E31" s="24" t="str">
        <x:f>IF(D31="","",IF(MOD($B$7+A31*3,5)=0,"Kick",IF(MOD($B$7+A31,7)=0,"Guard","Strike")))</x:f>
      </x:c>
      <x:c r="F31" s="24" t="str">
        <x:f>IF(D31="","",J30)</x:f>
      </x:c>
      <x:c r="G31" s="24" t="str">
        <x:f>IF(D31="","",K30)</x:f>
      </x:c>
      <x:c r="H31" s="24" t="str">
        <x:f>IF(D31="","",MAX(0,IF(B31="Guard",0,IF(AND(B31="Kick",C31&lt;4),0,MAX(1,C31+$E$6+IF(AND(A31=1,$B$6="Aggressive"),1,0)+IF(B31="Kick",2,0)-VLOOKUP($B$5,FIGHTERS!$A$2:$E$13,5,FALSE))))-IF(E31="Guard",2,0)))</x:f>
      </x:c>
      <x:c r="I31" s="24" t="str">
        <x:f>IF(D31="","",MAX(0,IF(E31="Guard",0,IF(AND(E31="Kick",D31&lt;4),0,MAX(1,D31+$E$7+IF(E31="Kick",2,0)-VLOOKUP($B$4,FIGHTERS!$A$2:$E$13,5,FALSE))))-IF(B31="Guard",2,0)))</x:f>
      </x:c>
      <x:c r="J31" s="24" t="str">
        <x:f>IF(D31="","",MAX(0,MIN($E$4,F31+IF(B31="Guard",1,0))-I31))</x:f>
      </x:c>
      <x:c r="K31" s="24" t="str">
        <x:f>IF(D31="","",MAX(0,MIN($E$5,G31+IF(E31="Guard",1,0))-H31))</x:f>
      </x:c>
      <x:c r="L31" s="25" t="str">
        <x:f>IF(D31="","",IF(AND(J31=0,K31=0),"DRAW",IF(K31=0,"YOU WIN",IF(J31=0,"BOT WINS",IF(A31=24,IF(J31&gt;K31,"YOU WIN",IF(J31&lt;K31,"BOT WINS","DRAW")),"Continue")))))</x:f>
      </x:c>
    </x:row>
    <x:row r="32" ht="24" customHeight="1">
      <x:c r="A32" s="22" t="n">
        <x:v>22</x:v>
      </x:c>
      <x:c r="B32" s="23"/>
      <x:c r="C32" s="23"/>
      <x:c r="D32" s="24" t="str">
        <x:f>IF(AND(AND(B32&lt;&gt;"",ISNUMBER(C32),C32&gt;=1,C32&lt;=6,OR(B32="Strike",B32="Kick",B32="Guard")),AND(J31&gt;0,K31&gt;0,L31="Continue")),MOD($B$7*7+A32*11+3,6)+1,"")</x:f>
      </x:c>
      <x:c r="E32" s="24" t="str">
        <x:f>IF(D32="","",IF(MOD($B$7+A32*3,5)=0,"Kick",IF(MOD($B$7+A32,7)=0,"Guard","Strike")))</x:f>
      </x:c>
      <x:c r="F32" s="24" t="str">
        <x:f>IF(D32="","",J31)</x:f>
      </x:c>
      <x:c r="G32" s="24" t="str">
        <x:f>IF(D32="","",K31)</x:f>
      </x:c>
      <x:c r="H32" s="24" t="str">
        <x:f>IF(D32="","",MAX(0,IF(B32="Guard",0,IF(AND(B32="Kick",C32&lt;4),0,MAX(1,C32+$E$6+IF(AND(A32=1,$B$6="Aggressive"),1,0)+IF(B32="Kick",2,0)-VLOOKUP($B$5,FIGHTERS!$A$2:$E$13,5,FALSE))))-IF(E32="Guard",2,0)))</x:f>
      </x:c>
      <x:c r="I32" s="24" t="str">
        <x:f>IF(D32="","",MAX(0,IF(E32="Guard",0,IF(AND(E32="Kick",D32&lt;4),0,MAX(1,D32+$E$7+IF(E32="Kick",2,0)-VLOOKUP($B$4,FIGHTERS!$A$2:$E$13,5,FALSE))))-IF(B32="Guard",2,0)))</x:f>
      </x:c>
      <x:c r="J32" s="24" t="str">
        <x:f>IF(D32="","",MAX(0,MIN($E$4,F32+IF(B32="Guard",1,0))-I32))</x:f>
      </x:c>
      <x:c r="K32" s="24" t="str">
        <x:f>IF(D32="","",MAX(0,MIN($E$5,G32+IF(E32="Guard",1,0))-H32))</x:f>
      </x:c>
      <x:c r="L32" s="25" t="str">
        <x:f>IF(D32="","",IF(AND(J32=0,K32=0),"DRAW",IF(K32=0,"YOU WIN",IF(J32=0,"BOT WINS",IF(A32=24,IF(J32&gt;K32,"YOU WIN",IF(J32&lt;K32,"BOT WINS","DRAW")),"Continue")))))</x:f>
      </x:c>
    </x:row>
    <x:row r="33" ht="24" customHeight="1">
      <x:c r="A33" s="22" t="n">
        <x:v>23</x:v>
      </x:c>
      <x:c r="B33" s="23"/>
      <x:c r="C33" s="23"/>
      <x:c r="D33" s="24" t="str">
        <x:f>IF(AND(AND(B33&lt;&gt;"",ISNUMBER(C33),C33&gt;=1,C33&lt;=6,OR(B33="Strike",B33="Kick",B33="Guard")),AND(J32&gt;0,K32&gt;0,L32="Continue")),MOD($B$7*7+A33*11+3,6)+1,"")</x:f>
      </x:c>
      <x:c r="E33" s="24" t="str">
        <x:f>IF(D33="","",IF(MOD($B$7+A33*3,5)=0,"Kick",IF(MOD($B$7+A33,7)=0,"Guard","Strike")))</x:f>
      </x:c>
      <x:c r="F33" s="24" t="str">
        <x:f>IF(D33="","",J32)</x:f>
      </x:c>
      <x:c r="G33" s="24" t="str">
        <x:f>IF(D33="","",K32)</x:f>
      </x:c>
      <x:c r="H33" s="24" t="str">
        <x:f>IF(D33="","",MAX(0,IF(B33="Guard",0,IF(AND(B33="Kick",C33&lt;4),0,MAX(1,C33+$E$6+IF(AND(A33=1,$B$6="Aggressive"),1,0)+IF(B33="Kick",2,0)-VLOOKUP($B$5,FIGHTERS!$A$2:$E$13,5,FALSE))))-IF(E33="Guard",2,0)))</x:f>
      </x:c>
      <x:c r="I33" s="24" t="str">
        <x:f>IF(D33="","",MAX(0,IF(E33="Guard",0,IF(AND(E33="Kick",D33&lt;4),0,MAX(1,D33+$E$7+IF(E33="Kick",2,0)-VLOOKUP($B$4,FIGHTERS!$A$2:$E$13,5,FALSE))))-IF(B33="Guard",2,0)))</x:f>
      </x:c>
      <x:c r="J33" s="24" t="str">
        <x:f>IF(D33="","",MAX(0,MIN($E$4,F33+IF(B33="Guard",1,0))-I33))</x:f>
      </x:c>
      <x:c r="K33" s="24" t="str">
        <x:f>IF(D33="","",MAX(0,MIN($E$5,G33+IF(E33="Guard",1,0))-H33))</x:f>
      </x:c>
      <x:c r="L33" s="25" t="str">
        <x:f>IF(D33="","",IF(AND(J33=0,K33=0),"DRAW",IF(K33=0,"YOU WIN",IF(J33=0,"BOT WINS",IF(A33=24,IF(J33&gt;K33,"YOU WIN",IF(J33&lt;K33,"BOT WINS","DRAW")),"Continue")))))</x:f>
      </x:c>
    </x:row>
    <x:row r="34" ht="24" customHeight="1">
      <x:c r="A34" s="26" t="n">
        <x:v>24</x:v>
      </x:c>
      <x:c r="B34" s="27"/>
      <x:c r="C34" s="27"/>
      <x:c r="D34" s="28" t="str">
        <x:f>IF(AND(AND(B34&lt;&gt;"",ISNUMBER(C34),C34&gt;=1,C34&lt;=6,OR(B34="Strike",B34="Kick",B34="Guard")),AND(J33&gt;0,K33&gt;0,L33="Continue")),MOD($B$7*7+A34*11+3,6)+1,"")</x:f>
      </x:c>
      <x:c r="E34" s="28" t="str">
        <x:f>IF(D34="","",IF(MOD($B$7+A34*3,5)=0,"Kick",IF(MOD($B$7+A34,7)=0,"Guard","Strike")))</x:f>
      </x:c>
      <x:c r="F34" s="28" t="str">
        <x:f>IF(D34="","",J33)</x:f>
      </x:c>
      <x:c r="G34" s="28" t="str">
        <x:f>IF(D34="","",K33)</x:f>
      </x:c>
      <x:c r="H34" s="28" t="str">
        <x:f>IF(D34="","",MAX(0,IF(B34="Guard",0,IF(AND(B34="Kick",C34&lt;4),0,MAX(1,C34+$E$6+IF(AND(A34=1,$B$6="Aggressive"),1,0)+IF(B34="Kick",2,0)-VLOOKUP($B$5,FIGHTERS!$A$2:$E$13,5,FALSE))))-IF(E34="Guard",2,0)))</x:f>
      </x:c>
      <x:c r="I34" s="28" t="str">
        <x:f>IF(D34="","",MAX(0,IF(E34="Guard",0,IF(AND(E34="Kick",D34&lt;4),0,MAX(1,D34+$E$7+IF(E34="Kick",2,0)-VLOOKUP($B$4,FIGHTERS!$A$2:$E$13,5,FALSE))))-IF(B34="Guard",2,0)))</x:f>
      </x:c>
      <x:c r="J34" s="28" t="str">
        <x:f>IF(D34="","",MAX(0,MIN($E$4,F34+IF(B34="Guard",1,0))-I34))</x:f>
      </x:c>
      <x:c r="K34" s="28" t="str">
        <x:f>IF(D34="","",MAX(0,MIN($E$5,G34+IF(E34="Guard",1,0))-H34))</x:f>
      </x:c>
      <x:c r="L34" s="29" t="str">
        <x:f>IF(D34="","",IF(AND(J34=0,K34=0),"DRAW",IF(K34=0,"YOU WIN",IF(J34=0,"BOT WINS",IF(A34=24,IF(J34&gt;K34,"YOU WIN",IF(J34&lt;K34,"BOT WINS","DRAW")),"Continue")))))</x:f>
      </x:c>
    </x:row>
    <x:row r="36">
      <x:c r="A36" s="35" t="str">
        <x:v>CURRENT RESULT</x:v>
      </x:c>
      <x:c r="B36" s="35" t="str">
        <x:f>IF(COUNT(D11:D34)=0,"Awaiting first move",LOOKUP(2,1/(L11:L34&lt;&gt;""),L11:L34))</x:f>
        <x:v>Awaiting first move</x:v>
      </x:c>
    </x:row>
  </x:sheetData>
  <x:mergeCells>
    <x:mergeCell ref="A1:L2"/>
    <x:mergeCell ref="G4:L4"/>
    <x:mergeCell ref="G5:L5"/>
    <x:mergeCell ref="G6:L6"/>
    <x:mergeCell ref="G7:L7"/>
    <x:mergeCell ref="A9:L9"/>
  </x:mergeCells>
  <x:conditionalFormatting sqref="J11:K34">
    <x:cfRule type="colorScale" priority="1">
      <x:colorScale>
        <x:cfvo type="min"/>
        <x:cfvo type="percentile" val="50"/>
        <x:cfvo type="max"/>
        <x:color rgb="FFFFCDD2"/>
        <x:color rgb="FFFFF6D5"/>
        <x:color rgb="FFD9F5DF"/>
      </x:colorScale>
    </x:cfRule>
  </x:conditionalFormatting>
  <x:dataValidations count="5">
    <x:dataValidation type="list" sqref="B4:B5">
      <x:formula1>"Leyla,Eleni,Anna,Katarina,Jessica,Ayaka,Poly,Hélène,Mei,Dao,Nefarati,Morana"</x:formula1>
    </x:dataValidation>
    <x:dataValidation type="list" sqref="B6">
      <x:formula1>"Aggressive,Passive"</x:formula1>
    </x:dataValidation>
    <x:dataValidation type="list" sqref="B11:B34">
      <x:formula1>"Strike,Kick,Guard"</x:formula1>
    </x:dataValidation>
    <x:dataValidation type="whole" operator="between" sqref="C11:C34">
      <x:formula1>1</x:formula1>
      <x:formula2>6</x:formula2>
    </x:dataValidation>
    <x:dataValidation type="whole" operator="between" sqref="B7">
      <x:formula1>1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30" hidden="0" customWidth="1"/>
  </x:cols>
  <x:sheetData>
    <x:row r="1">
      <x:c r="A1" s="2" t="str">
        <x:v>FIGHTER</x:v>
      </x:c>
      <x:c r="B1" s="2" t="str">
        <x:v>COUNTRY</x:v>
      </x:c>
      <x:c r="C1" s="2" t="str">
        <x:v>START HP</x:v>
      </x:c>
      <x:c r="D1" s="2" t="str">
        <x:v>POWER</x:v>
      </x:c>
      <x:c r="E1" s="2" t="str">
        <x:v>DEFENSE</x:v>
      </x:c>
      <x:c r="F1" s="2" t="str">
        <x:v>STYLE</x:v>
      </x:c>
    </x:row>
    <x:row r="2">
      <x:c r="A2" s="3" t="str">
        <x:v>Leyla</x:v>
      </x:c>
      <x:c r="B2" s="4" t="str">
        <x:v>Turkey</x:v>
      </x:c>
      <x:c r="C2" s="4" t="n">
        <x:v>22</x:v>
      </x:c>
      <x:c r="D2" s="4" t="n">
        <x:v>3</x:v>
      </x:c>
      <x:c r="E2" s="4" t="n">
        <x:v>3</x:v>
      </x:c>
      <x:c r="F2" s="5" t="str">
        <x:v>Calm kickboxer</x:v>
      </x:c>
    </x:row>
    <x:row r="3">
      <x:c r="A3" s="6" t="str">
        <x:v>Eleni</x:v>
      </x:c>
      <x:c r="B3" s="7" t="str">
        <x:v>Greece</x:v>
      </x:c>
      <x:c r="C3" s="7" t="n">
        <x:v>21</x:v>
      </x:c>
      <x:c r="D3" s="7" t="n">
        <x:v>3</x:v>
      </x:c>
      <x:c r="E3" s="7" t="n">
        <x:v>2</x:v>
      </x:c>
      <x:c r="F3" s="8" t="str">
        <x:v>Fast and competitive</x:v>
      </x:c>
    </x:row>
    <x:row r="4">
      <x:c r="A4" s="6" t="str">
        <x:v>Anna</x:v>
      </x:c>
      <x:c r="B4" s="7" t="str">
        <x:v>Germany</x:v>
      </x:c>
      <x:c r="C4" s="7" t="n">
        <x:v>24</x:v>
      </x:c>
      <x:c r="D4" s="7" t="n">
        <x:v>4</x:v>
      </x:c>
      <x:c r="E4" s="7" t="n">
        <x:v>3</x:v>
      </x:c>
      <x:c r="F4" s="8" t="str">
        <x:v>Power boxer</x:v>
      </x:c>
    </x:row>
    <x:row r="5">
      <x:c r="A5" s="6" t="str">
        <x:v>Katarina</x:v>
      </x:c>
      <x:c r="B5" s="7" t="str">
        <x:v>Russia</x:v>
      </x:c>
      <x:c r="C5" s="7" t="n">
        <x:v>20</x:v>
      </x:c>
      <x:c r="D5" s="7" t="n">
        <x:v>3</x:v>
      </x:c>
      <x:c r="E5" s="7" t="n">
        <x:v>2</x:v>
      </x:c>
      <x:c r="F5" s="8" t="str">
        <x:v>Karate specialist</x:v>
      </x:c>
    </x:row>
    <x:row r="6">
      <x:c r="A6" s="6" t="str">
        <x:v>Jessica</x:v>
      </x:c>
      <x:c r="B6" s="7" t="str">
        <x:v>USA</x:v>
      </x:c>
      <x:c r="C6" s="7" t="n">
        <x:v>21</x:v>
      </x:c>
      <x:c r="D6" s="7" t="n">
        <x:v>3</x:v>
      </x:c>
      <x:c r="E6" s="7" t="n">
        <x:v>2</x:v>
      </x:c>
      <x:c r="F6" s="8" t="str">
        <x:v>Boxing and kickboxing</x:v>
      </x:c>
    </x:row>
    <x:row r="7">
      <x:c r="A7" s="6" t="str">
        <x:v>Ayaka</x:v>
      </x:c>
      <x:c r="B7" s="7" t="str">
        <x:v>Japan</x:v>
      </x:c>
      <x:c r="C7" s="7" t="n">
        <x:v>21</x:v>
      </x:c>
      <x:c r="D7" s="7" t="n">
        <x:v>2</x:v>
      </x:c>
      <x:c r="E7" s="7" t="n">
        <x:v>2</x:v>
      </x:c>
      <x:c r="F7" s="8" t="str">
        <x:v>Technical fighter</x:v>
      </x:c>
    </x:row>
    <x:row r="8">
      <x:c r="A8" s="6" t="str">
        <x:v>Poly</x:v>
      </x:c>
      <x:c r="B8" s="7" t="str">
        <x:v>UK</x:v>
      </x:c>
      <x:c r="C8" s="7" t="n">
        <x:v>20</x:v>
      </x:c>
      <x:c r="D8" s="7" t="n">
        <x:v>3</x:v>
      </x:c>
      <x:c r="E8" s="7" t="n">
        <x:v>2</x:v>
      </x:c>
      <x:c r="F8" s="8" t="str">
        <x:v>Aggressive punk</x:v>
      </x:c>
    </x:row>
    <x:row r="9">
      <x:c r="A9" s="6" t="str">
        <x:v>Hélène</x:v>
      </x:c>
      <x:c r="B9" s="7" t="str">
        <x:v>France</x:v>
      </x:c>
      <x:c r="C9" s="7" t="n">
        <x:v>22</x:v>
      </x:c>
      <x:c r="D9" s="7" t="n">
        <x:v>3</x:v>
      </x:c>
      <x:c r="E9" s="7" t="n">
        <x:v>3</x:v>
      </x:c>
      <x:c r="F9" s="8" t="str">
        <x:v>Precise counter fighter</x:v>
      </x:c>
    </x:row>
    <x:row r="10">
      <x:c r="A10" s="6" t="str">
        <x:v>Mei</x:v>
      </x:c>
      <x:c r="B10" s="7" t="str">
        <x:v>China</x:v>
      </x:c>
      <x:c r="C10" s="7" t="n">
        <x:v>20</x:v>
      </x:c>
      <x:c r="D10" s="7" t="n">
        <x:v>3</x:v>
      </x:c>
      <x:c r="E10" s="7" t="n">
        <x:v>2</x:v>
      </x:c>
      <x:c r="F10" s="8" t="str">
        <x:v>Street fighter</x:v>
      </x:c>
    </x:row>
    <x:row r="11">
      <x:c r="A11" s="6" t="str">
        <x:v>Dao</x:v>
      </x:c>
      <x:c r="B11" s="7" t="str">
        <x:v>Thailand</x:v>
      </x:c>
      <x:c r="C11" s="7" t="n">
        <x:v>23</x:v>
      </x:c>
      <x:c r="D11" s="7" t="n">
        <x:v>4</x:v>
      </x:c>
      <x:c r="E11" s="7" t="n">
        <x:v>3</x:v>
      </x:c>
      <x:c r="F11" s="8" t="str">
        <x:v>Muay Thai</x:v>
      </x:c>
    </x:row>
    <x:row r="12">
      <x:c r="A12" s="6" t="str">
        <x:v>Nefarati</x:v>
      </x:c>
      <x:c r="B12" s="7" t="str">
        <x:v>Egypt</x:v>
      </x:c>
      <x:c r="C12" s="7" t="n">
        <x:v>20</x:v>
      </x:c>
      <x:c r="D12" s="7" t="n">
        <x:v>2</x:v>
      </x:c>
      <x:c r="E12" s="7" t="n">
        <x:v>2</x:v>
      </x:c>
      <x:c r="F12" s="8" t="str">
        <x:v>Deceptive fighter</x:v>
      </x:c>
    </x:row>
    <x:row r="13">
      <x:c r="A13" s="9" t="str">
        <x:v>Morana</x:v>
      </x:c>
      <x:c r="B13" s="10" t="str">
        <x:v>Serbia</x:v>
      </x:c>
      <x:c r="C13" s="10" t="n">
        <x:v>21</x:v>
      </x:c>
      <x:c r="D13" s="10" t="n">
        <x:v>3</x:v>
      </x:c>
      <x:c r="E13" s="10" t="n">
        <x:v>2</x:v>
      </x:c>
      <x:c r="F13" s="11" t="str">
        <x:v>Unpredictable fighter</x:v>
      </x:c>
    </x:row>
    <x:row r="15">
      <x:c r="A15" t="str">
        <x:v>These are workbook balance values; they are not a transfer of the browser-game stats.</x:v>
      </x:c>
    </x:row>
    <x:row r="17">
      <x:c r="A17" t="str">
        <x:v>Source: https://github.com/User-Gs/2-D-HETENA/blob/main/README.md (character count and game description).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0" hidden="0" customWidth="1"/>
  </x:cols>
  <x:sheetData>
    <x:row r="1">
      <x:c r="A1" s="36" t="str">
        <x:v>HOW TO PLAY  •  Excel edition</x:v>
      </x:c>
      <x:c r="B1" s="36"/>
      <x:c r="C1" s="36"/>
      <x:c r="D1" s="36"/>
    </x:row>
    <x:row r="2">
      <x:c r="A2" s="36"/>
      <x:c r="B2" s="36"/>
      <x:c r="C2" s="36"/>
      <x:c r="D2" s="36"/>
    </x:row>
    <x:row r="4" ht="28" customHeight="1">
      <x:c r="A4" s="37" t="str">
        <x:v>1</x:v>
      </x:c>
      <x:c r="B4" s="31" t="str">
        <x:v>Open PLAY in Microsoft Excel. Choose fighter and opponent in B4/B5.</x:v>
      </x:c>
    </x:row>
    <x:row r="5" ht="28" customHeight="1">
      <x:c r="A5" s="37" t="str">
        <x:v>2</x:v>
      </x:c>
      <x:c r="B5" s="31" t="str">
        <x:v>Set Aggressive (+1 on first attack) or Passive in B6. Choose a numeric match seed in B7.</x:v>
      </x:c>
    </x:row>
    <x:row r="6" ht="28" customHeight="1">
      <x:c r="A6" s="37" t="str">
        <x:v>3</x:v>
      </x:c>
      <x:c r="B6" s="31" t="str">
        <x:v>For each turn choose Strike, Kick or Guard in column B and enter a die result from 1 to 6 in C.</x:v>
      </x:c>
    </x:row>
    <x:row r="7" ht="28" customHeight="1">
      <x:c r="A7" s="37" t="str">
        <x:v>4</x:v>
      </x:c>
      <x:c r="B7" s="31" t="str">
        <x:v>The bot die and move are calculated automatically; damage and health recalculate immediately.</x:v>
      </x:c>
    </x:row>
    <x:row r="8" ht="28" customHeight="1">
      <x:c r="A8" s="37" t="str">
        <x:v>5</x:v>
      </x:c>
      <x:c r="B8" s="31" t="str">
        <x:v>Strike: die + power minus opponent defense, minimum 1. Kick: misses on 1–3; on 4–6 adds 2.</x:v>
      </x:c>
    </x:row>
    <x:row r="9" ht="28" customHeight="1">
      <x:c r="A9" s="37" t="str">
        <x:v>6</x:v>
      </x:c>
      <x:c r="B9" s="31" t="str">
        <x:v>Guard: no attack, blocks 2 damage, recovers 1 HP up to the starting maximum.</x:v>
      </x:c>
    </x:row>
    <x:row r="10" ht="28" customHeight="1">
      <x:c r="A10" s="37" t="str">
        <x:v>7</x:v>
      </x:c>
      <x:c r="B10" s="31" t="str">
        <x:v>Both attacks resolve together. At zero HP, the fight ends. On turn 24, higher HP wins.</x:v>
      </x:c>
    </x:row>
    <x:row r="11" ht="28" customHeight="1">
      <x:c r="A11" s="37" t="str">
        <x:v>8</x:v>
      </x:c>
      <x:c r="B11" s="31" t="str">
        <x:v>Clear B11:C34 to start over. Change the seed to alter the bot pattern.</x:v>
      </x:c>
    </x:row>
    <x:row r="12" ht="28" customHeight="1">
      <x:c r="A12" s="37" t="str">
        <x:v>NOTE</x:v>
      </x:c>
      <x:c r="B12" s="31" t="str">
        <x:v>This is a playable spreadsheet adaptation; the full visual/audio browser game is not inside this .xlsx.</x:v>
      </x:c>
    </x:row>
    <x:row r="14">
      <x:c r="A14" t="str">
        <x:v>The bot die is deterministic from seed and turn, so a match can be replayed. Enter your own dice results.</x:v>
      </x:c>
    </x:row>
    <x:row r="15">
      <x:c r="A15" t="str">
        <x:v>The workbook has no macros, external links, network calls, audio, images, tournament hub, or passive ability engine.</x:v>
      </x:c>
    </x:row>
    <x:row r="17">
      <x:c r="A17" t="str">
        <x:v>Repo description: https://github.com/User-Gs/2-D-HETENA/blob/main/README.md</x:v>
      </x:c>
    </x:row>
  </x:sheetData>
  <x:mergeCells>
    <x:mergeCell ref="A1:D2"/>
  </x:mergeCells>
  <x:pageMargins left="0.7" right="0.7" top="0.75" bottom="0.75" header="0.3" footer="0.3"/>
</x:worksheet>
</file>